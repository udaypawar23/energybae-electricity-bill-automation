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TITUDE\Downloads\"/>
    </mc:Choice>
  </mc:AlternateContent>
  <bookViews>
    <workbookView xWindow="0" yWindow="0" windowWidth="15345" windowHeight="4455"/>
  </bookViews>
  <sheets>
    <sheet name="Pranay HOME" sheetId="1" r:id="rId1"/>
  </sheets>
  <calcPr calcId="162913"/>
</workbook>
</file>

<file path=xl/calcChain.xml><?xml version="1.0" encoding="utf-8"?>
<calcChain xmlns="http://schemas.openxmlformats.org/spreadsheetml/2006/main">
  <c r="J22" i="1" l="1"/>
  <c r="I22" i="1"/>
  <c r="H22" i="1"/>
  <c r="H23" i="1" s="1"/>
  <c r="H24" i="1" s="1"/>
  <c r="H25" i="1" s="1"/>
  <c r="H26" i="1" s="1"/>
  <c r="F22" i="1"/>
  <c r="E22" i="1"/>
  <c r="D22" i="1"/>
  <c r="D23" i="1" s="1"/>
  <c r="D24" i="1" s="1"/>
  <c r="D25" i="1" s="1"/>
  <c r="J20" i="1"/>
  <c r="F20" i="1"/>
  <c r="D26" i="1" l="1"/>
  <c r="D30" i="1" s="1"/>
  <c r="D29" i="1"/>
</calcChain>
</file>

<file path=xl/sharedStrings.xml><?xml version="1.0" encoding="utf-8"?>
<sst xmlns="http://schemas.openxmlformats.org/spreadsheetml/2006/main" count="35" uniqueCount="26">
  <si>
    <t>Consumer Name</t>
  </si>
  <si>
    <t>Shri Madhusham Khobragade</t>
  </si>
  <si>
    <t>Ranjana Khobragade</t>
  </si>
  <si>
    <t>Consumer No</t>
  </si>
  <si>
    <t>Fixed Charges</t>
  </si>
  <si>
    <t>Sanct. Load (kW)</t>
  </si>
  <si>
    <t>3.30KW</t>
  </si>
  <si>
    <t>1KW</t>
  </si>
  <si>
    <t>Connection Type</t>
  </si>
  <si>
    <t>90/ LT I Res 1-Phase</t>
  </si>
  <si>
    <t>90/LT I Res 1- Phase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</si>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</sst>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9"/>
      <color rgb="FF000000"/>
      <name val="Calibri"/>
      <family val="2"/>
    </font>
    <font>
      <sz val="8"/>
      <color rgb="FF000000"/>
      <name val="Verdana"/>
      <family val="2"/>
    </font>
    <font>
      <sz val="10"/>
      <color rgb="FF000000"/>
      <name val="Arial"/>
      <family val="2"/>
      <scheme val="minor"/>
    </font>
    <font>
      <sz val="9"/>
      <color theme="1"/>
      <name val="Calibri"/>
      <family val="2"/>
    </font>
    <font>
      <sz val="10"/>
      <color theme="1"/>
      <name val="Arial"/>
      <family val="2"/>
      <scheme val="minor"/>
    </font>
    <font>
      <u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/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/>
    <xf numFmtId="0" fontId="2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Alignment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/>
    <xf numFmtId="0" fontId="3" fillId="2" borderId="0" xfId="0" applyFont="1" applyFill="1" applyAlignment="1">
      <alignment horizontal="left"/>
    </xf>
    <xf numFmtId="0" fontId="2" fillId="0" borderId="0" xfId="0" applyFont="1" applyAlignment="1"/>
    <xf numFmtId="0" fontId="2" fillId="4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7" fillId="5" borderId="1" xfId="0" applyFont="1" applyFill="1" applyBorder="1" applyAlignment="1"/>
    <xf numFmtId="0" fontId="2" fillId="5" borderId="3" xfId="0" applyFont="1" applyFill="1" applyBorder="1" applyAlignment="1"/>
    <xf numFmtId="0" fontId="2" fillId="5" borderId="1" xfId="0" applyFont="1" applyFill="1" applyBorder="1" applyAlignment="1"/>
    <xf numFmtId="0" fontId="2" fillId="2" borderId="0" xfId="0" applyFont="1" applyFill="1" applyAlignment="1"/>
    <xf numFmtId="0" fontId="2" fillId="0" borderId="2" xfId="0" applyFont="1" applyBorder="1" applyAlignment="1">
      <alignment horizontal="right"/>
    </xf>
    <xf numFmtId="164" fontId="4" fillId="0" borderId="0" xfId="0" applyNumberFormat="1" applyFont="1" applyAlignment="1"/>
    <xf numFmtId="0" fontId="4" fillId="0" borderId="1" xfId="0" applyFont="1" applyBorder="1" applyAlignment="1"/>
    <xf numFmtId="4" fontId="8" fillId="2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0" fontId="9" fillId="2" borderId="0" xfId="0" applyFont="1" applyFill="1"/>
    <xf numFmtId="0" fontId="9" fillId="2" borderId="0" xfId="0" applyFont="1" applyFill="1" applyAlignment="1"/>
    <xf numFmtId="0" fontId="9" fillId="2" borderId="0" xfId="0" applyFont="1" applyFill="1" applyAlignment="1"/>
    <xf numFmtId="4" fontId="3" fillId="0" borderId="1" xfId="0" applyNumberFormat="1" applyFont="1" applyBorder="1" applyAlignment="1">
      <alignment horizontal="right"/>
    </xf>
    <xf numFmtId="4" fontId="8" fillId="2" borderId="0" xfId="0" applyNumberFormat="1" applyFont="1" applyFill="1" applyAlignment="1">
      <alignment horizontal="right"/>
    </xf>
    <xf numFmtId="4" fontId="9" fillId="2" borderId="1" xfId="0" applyNumberFormat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right"/>
    </xf>
    <xf numFmtId="0" fontId="2" fillId="0" borderId="2" xfId="0" applyFont="1" applyBorder="1" applyAlignment="1"/>
    <xf numFmtId="0" fontId="9" fillId="2" borderId="1" xfId="0" applyFont="1" applyFill="1" applyBorder="1" applyAlignment="1"/>
    <xf numFmtId="0" fontId="9" fillId="2" borderId="0" xfId="0" applyFont="1" applyFill="1" applyAlignment="1">
      <alignment horizontal="right"/>
    </xf>
    <xf numFmtId="4" fontId="9" fillId="2" borderId="0" xfId="0" applyNumberFormat="1" applyFont="1" applyFill="1" applyAlignment="1">
      <alignment horizontal="right"/>
    </xf>
    <xf numFmtId="0" fontId="2" fillId="0" borderId="2" xfId="0" applyFont="1" applyBorder="1" applyAlignment="1"/>
    <xf numFmtId="0" fontId="10" fillId="0" borderId="4" xfId="0" applyFont="1" applyBorder="1" applyAlignment="1"/>
    <xf numFmtId="0" fontId="10" fillId="0" borderId="5" xfId="0" applyFont="1" applyBorder="1" applyAlignment="1"/>
    <xf numFmtId="4" fontId="10" fillId="0" borderId="2" xfId="0" applyNumberFormat="1" applyFont="1" applyBorder="1" applyAlignment="1"/>
    <xf numFmtId="0" fontId="10" fillId="0" borderId="2" xfId="0" applyFont="1" applyBorder="1" applyAlignment="1"/>
    <xf numFmtId="0" fontId="10" fillId="2" borderId="0" xfId="0" applyFont="1" applyFill="1" applyAlignment="1"/>
    <xf numFmtId="0" fontId="2" fillId="0" borderId="4" xfId="0" applyFont="1" applyBorder="1" applyAlignment="1">
      <alignment horizontal="right"/>
    </xf>
    <xf numFmtId="0" fontId="10" fillId="3" borderId="4" xfId="0" applyFont="1" applyFill="1" applyBorder="1" applyAlignment="1"/>
    <xf numFmtId="0" fontId="2" fillId="4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164" fontId="4" fillId="2" borderId="0" xfId="0" applyNumberFormat="1" applyFont="1" applyFill="1" applyAlignment="1"/>
    <xf numFmtId="0" fontId="11" fillId="2" borderId="0" xfId="0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4" fontId="4" fillId="0" borderId="0" xfId="0" applyNumberFormat="1" applyFont="1" applyAlignment="1"/>
    <xf numFmtId="168" fontId="3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tabSelected="1" workbookViewId="0"/>
  </sheetViews>
  <sheetFormatPr defaultColWidth="12.5703125" defaultRowHeight="15.75" customHeight="1" x14ac:dyDescent="0.2"/>
  <cols>
    <col min="3" max="3" width="21.7109375" customWidth="1"/>
    <col min="4" max="4" width="20.7109375" customWidth="1"/>
    <col min="5" max="5" width="8.42578125" customWidth="1"/>
    <col min="6" max="6" width="11.28515625" customWidth="1"/>
    <col min="7" max="7" width="13.42578125" customWidth="1"/>
    <col min="8" max="8" width="16.5703125" customWidth="1"/>
    <col min="9" max="9" width="11.5703125" customWidth="1"/>
    <col min="10" max="11" width="10.5703125" customWidth="1"/>
    <col min="12" max="12" width="11.85546875" customWidth="1"/>
    <col min="13" max="14" width="10.5703125" customWidth="1"/>
    <col min="15" max="15" width="12.85546875" customWidth="1"/>
    <col min="16" max="17" width="10.5703125" customWidth="1"/>
    <col min="18" max="18" width="12.140625" customWidth="1"/>
    <col min="19" max="20" width="10.5703125" customWidth="1"/>
    <col min="21" max="21" width="11.42578125" customWidth="1"/>
    <col min="22" max="29" width="10.5703125" customWidth="1"/>
  </cols>
  <sheetData>
    <row r="1" spans="1:29" x14ac:dyDescent="0.2">
      <c r="A1" s="1"/>
      <c r="B1" s="2" t="s">
        <v>0</v>
      </c>
      <c r="D1" s="3" t="s">
        <v>1</v>
      </c>
      <c r="E1" s="4"/>
      <c r="F1" s="4"/>
      <c r="H1" s="3" t="s">
        <v>2</v>
      </c>
      <c r="I1" s="4"/>
      <c r="J1" s="4"/>
      <c r="K1" s="5"/>
      <c r="L1" s="6"/>
      <c r="M1" s="5"/>
      <c r="N1" s="5"/>
      <c r="O1" s="6"/>
      <c r="P1" s="5"/>
      <c r="Q1" s="5"/>
      <c r="R1" s="6"/>
      <c r="S1" s="5"/>
      <c r="T1" s="5"/>
      <c r="U1" s="6"/>
      <c r="V1" s="5"/>
      <c r="W1" s="5"/>
      <c r="X1" s="6"/>
      <c r="Y1" s="5"/>
      <c r="Z1" s="5"/>
      <c r="AA1" s="6"/>
      <c r="AB1" s="5"/>
      <c r="AC1" s="5"/>
    </row>
    <row r="2" spans="1:29" x14ac:dyDescent="0.2">
      <c r="A2" s="4"/>
      <c r="B2" s="7" t="s">
        <v>3</v>
      </c>
      <c r="D2" s="8">
        <v>439320095567</v>
      </c>
      <c r="E2" s="9"/>
      <c r="F2" s="10"/>
      <c r="H2" s="8">
        <v>439322232375</v>
      </c>
      <c r="I2" s="9"/>
      <c r="J2" s="10"/>
      <c r="K2" s="5"/>
      <c r="L2" s="6"/>
      <c r="M2" s="5"/>
      <c r="N2" s="5"/>
      <c r="O2" s="6"/>
      <c r="P2" s="5"/>
      <c r="Q2" s="5"/>
      <c r="R2" s="6"/>
      <c r="S2" s="5"/>
      <c r="T2" s="5"/>
      <c r="U2" s="6"/>
      <c r="V2" s="5"/>
      <c r="W2" s="5"/>
      <c r="X2" s="6"/>
      <c r="Y2" s="5"/>
      <c r="Z2" s="5"/>
      <c r="AA2" s="6"/>
      <c r="AB2" s="5"/>
      <c r="AC2" s="5"/>
    </row>
    <row r="3" spans="1:29" x14ac:dyDescent="0.2">
      <c r="A3" s="4"/>
      <c r="B3" s="11" t="s">
        <v>4</v>
      </c>
      <c r="D3" s="12">
        <v>130</v>
      </c>
      <c r="E3" s="13"/>
      <c r="F3" s="10"/>
      <c r="H3" s="12">
        <v>130</v>
      </c>
      <c r="I3" s="13"/>
      <c r="J3" s="10"/>
      <c r="K3" s="5"/>
      <c r="L3" s="6"/>
      <c r="M3" s="5"/>
      <c r="N3" s="5"/>
      <c r="O3" s="6"/>
      <c r="P3" s="5"/>
      <c r="Q3" s="5"/>
      <c r="R3" s="6"/>
      <c r="S3" s="5"/>
      <c r="T3" s="5"/>
      <c r="U3" s="6"/>
      <c r="V3" s="5"/>
      <c r="W3" s="5"/>
      <c r="X3" s="6"/>
      <c r="Y3" s="5"/>
      <c r="Z3" s="5"/>
      <c r="AA3" s="6"/>
      <c r="AB3" s="5"/>
      <c r="AC3" s="5"/>
    </row>
    <row r="4" spans="1:29" x14ac:dyDescent="0.2">
      <c r="A4" s="4"/>
      <c r="B4" s="11" t="s">
        <v>5</v>
      </c>
      <c r="D4" s="12" t="s">
        <v>6</v>
      </c>
      <c r="E4" s="9"/>
      <c r="F4" s="4"/>
      <c r="H4" s="12" t="s">
        <v>7</v>
      </c>
      <c r="I4" s="9"/>
      <c r="J4" s="4"/>
      <c r="K4" s="5"/>
      <c r="L4" s="6"/>
      <c r="M4" s="5"/>
      <c r="N4" s="5"/>
      <c r="O4" s="6"/>
      <c r="P4" s="5"/>
      <c r="Q4" s="5"/>
      <c r="R4" s="6"/>
      <c r="S4" s="5"/>
      <c r="T4" s="5"/>
      <c r="U4" s="6"/>
      <c r="V4" s="5"/>
      <c r="W4" s="5"/>
      <c r="X4" s="6"/>
      <c r="Y4" s="5"/>
      <c r="Z4" s="5"/>
      <c r="AA4" s="6"/>
      <c r="AB4" s="5"/>
      <c r="AC4" s="5"/>
    </row>
    <row r="5" spans="1:29" x14ac:dyDescent="0.2">
      <c r="A5" s="4"/>
      <c r="B5" s="11" t="s">
        <v>8</v>
      </c>
      <c r="D5" s="14" t="s">
        <v>9</v>
      </c>
      <c r="E5" s="13"/>
      <c r="F5" s="4"/>
      <c r="H5" s="15" t="s">
        <v>10</v>
      </c>
      <c r="I5" s="13"/>
      <c r="J5" s="4"/>
      <c r="K5" s="5"/>
      <c r="L5" s="6"/>
      <c r="M5" s="5"/>
      <c r="N5" s="5"/>
      <c r="O5" s="6"/>
      <c r="P5" s="5"/>
      <c r="Q5" s="5"/>
      <c r="R5" s="6"/>
      <c r="S5" s="5"/>
      <c r="T5" s="5"/>
      <c r="U5" s="6"/>
      <c r="V5" s="5"/>
      <c r="W5" s="5"/>
      <c r="X5" s="6"/>
      <c r="Y5" s="5"/>
      <c r="Z5" s="5"/>
      <c r="AA5" s="5"/>
      <c r="AB5" s="5"/>
      <c r="AC5" s="5"/>
    </row>
    <row r="6" spans="1:29" x14ac:dyDescent="0.2">
      <c r="A6" s="4"/>
      <c r="B6" s="16" t="s">
        <v>11</v>
      </c>
      <c r="C6" s="13"/>
      <c r="D6" s="17"/>
      <c r="E6" s="17"/>
      <c r="F6" s="17"/>
      <c r="G6" s="13"/>
      <c r="H6" s="17"/>
      <c r="I6" s="17"/>
      <c r="J6" s="17"/>
      <c r="K6" s="5"/>
      <c r="L6" s="6"/>
      <c r="M6" s="5"/>
      <c r="N6" s="5"/>
      <c r="O6" s="6"/>
      <c r="P6" s="5"/>
      <c r="Q6" s="5"/>
      <c r="R6" s="6"/>
      <c r="S6" s="5"/>
      <c r="T6" s="5"/>
      <c r="U6" s="6"/>
      <c r="V6" s="5"/>
      <c r="W6" s="5"/>
      <c r="X6" s="6"/>
      <c r="Y6" s="5"/>
      <c r="Z6" s="5"/>
      <c r="AA6" s="6"/>
      <c r="AB6" s="5"/>
      <c r="AC6" s="5"/>
    </row>
    <row r="7" spans="1:29" x14ac:dyDescent="0.2">
      <c r="A7" s="17"/>
      <c r="B7" s="13" t="s">
        <v>12</v>
      </c>
      <c r="C7" s="18">
        <v>600</v>
      </c>
      <c r="D7" s="17"/>
      <c r="E7" s="17"/>
      <c r="F7" s="17"/>
      <c r="G7" s="19"/>
      <c r="H7" s="17"/>
      <c r="I7" s="17"/>
      <c r="J7" s="1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2">
      <c r="A8" s="17"/>
      <c r="B8" s="20" t="s">
        <v>13</v>
      </c>
      <c r="C8" s="21" t="s">
        <v>14</v>
      </c>
      <c r="D8" s="22" t="s">
        <v>15</v>
      </c>
      <c r="E8" s="21" t="s">
        <v>16</v>
      </c>
      <c r="F8" s="22" t="s">
        <v>17</v>
      </c>
      <c r="G8" s="21" t="s">
        <v>14</v>
      </c>
      <c r="H8" s="22" t="s">
        <v>15</v>
      </c>
      <c r="I8" s="21" t="s">
        <v>16</v>
      </c>
      <c r="J8" s="22" t="s">
        <v>17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x14ac:dyDescent="0.2">
      <c r="A9" s="17"/>
      <c r="B9" s="24">
        <v>2</v>
      </c>
      <c r="C9" s="25">
        <v>45689</v>
      </c>
      <c r="D9" s="26">
        <v>99</v>
      </c>
      <c r="E9" s="27"/>
      <c r="F9" s="28"/>
      <c r="G9" s="25">
        <v>45689</v>
      </c>
      <c r="H9" s="26">
        <v>82</v>
      </c>
      <c r="I9" s="27"/>
      <c r="J9" s="28"/>
      <c r="K9" s="29"/>
      <c r="L9" s="6"/>
      <c r="M9" s="30"/>
      <c r="N9" s="29"/>
      <c r="O9" s="6"/>
      <c r="P9" s="30"/>
      <c r="Q9" s="29"/>
      <c r="R9" s="6"/>
      <c r="S9" s="30"/>
      <c r="T9" s="29"/>
      <c r="U9" s="6"/>
      <c r="V9" s="30"/>
      <c r="W9" s="29"/>
      <c r="X9" s="6"/>
      <c r="Y9" s="30"/>
      <c r="Z9" s="29"/>
      <c r="AA9" s="6"/>
      <c r="AB9" s="30"/>
      <c r="AC9" s="29"/>
    </row>
    <row r="10" spans="1:29" x14ac:dyDescent="0.2">
      <c r="A10" s="17"/>
      <c r="B10" s="24">
        <v>3</v>
      </c>
      <c r="C10" s="25">
        <v>45717</v>
      </c>
      <c r="D10" s="26">
        <v>151</v>
      </c>
      <c r="E10" s="27"/>
      <c r="F10" s="28"/>
      <c r="G10" s="25">
        <v>45717</v>
      </c>
      <c r="H10" s="26">
        <v>27</v>
      </c>
      <c r="I10" s="27"/>
      <c r="J10" s="28"/>
      <c r="K10" s="29"/>
      <c r="L10" s="6"/>
      <c r="M10" s="29"/>
      <c r="N10" s="29"/>
      <c r="O10" s="6"/>
      <c r="P10" s="29"/>
      <c r="Q10" s="29"/>
      <c r="R10" s="6"/>
      <c r="S10" s="29"/>
      <c r="T10" s="29"/>
      <c r="U10" s="6"/>
      <c r="V10" s="29"/>
      <c r="W10" s="29"/>
      <c r="X10" s="6"/>
      <c r="Y10" s="29"/>
      <c r="Z10" s="29"/>
      <c r="AA10" s="6"/>
      <c r="AB10" s="29"/>
      <c r="AC10" s="29"/>
    </row>
    <row r="11" spans="1:29" x14ac:dyDescent="0.2">
      <c r="A11" s="17"/>
      <c r="B11" s="24">
        <v>4</v>
      </c>
      <c r="C11" s="25">
        <v>45748</v>
      </c>
      <c r="D11" s="26">
        <v>258</v>
      </c>
      <c r="E11" s="27"/>
      <c r="F11" s="28"/>
      <c r="G11" s="25">
        <v>45748</v>
      </c>
      <c r="H11" s="26">
        <v>152</v>
      </c>
      <c r="I11" s="27"/>
      <c r="J11" s="28"/>
      <c r="K11" s="29"/>
      <c r="L11" s="6"/>
      <c r="M11" s="29"/>
      <c r="N11" s="29"/>
      <c r="O11" s="6"/>
      <c r="P11" s="29"/>
      <c r="Q11" s="29"/>
      <c r="R11" s="6"/>
      <c r="S11" s="29"/>
      <c r="T11" s="29"/>
      <c r="U11" s="6"/>
      <c r="V11" s="29"/>
      <c r="W11" s="29"/>
      <c r="X11" s="6"/>
      <c r="Y11" s="29"/>
      <c r="Z11" s="29"/>
      <c r="AA11" s="6"/>
      <c r="AB11" s="29"/>
      <c r="AC11" s="29"/>
    </row>
    <row r="12" spans="1:29" x14ac:dyDescent="0.2">
      <c r="A12" s="17"/>
      <c r="B12" s="24">
        <v>5</v>
      </c>
      <c r="C12" s="25">
        <v>45778</v>
      </c>
      <c r="D12" s="26">
        <v>208</v>
      </c>
      <c r="E12" s="27"/>
      <c r="F12" s="28"/>
      <c r="G12" s="25">
        <v>45778</v>
      </c>
      <c r="H12" s="26">
        <v>198</v>
      </c>
      <c r="I12" s="27"/>
      <c r="J12" s="28"/>
      <c r="K12" s="29"/>
      <c r="L12" s="6"/>
      <c r="M12" s="29"/>
      <c r="N12" s="29"/>
      <c r="O12" s="6"/>
      <c r="P12" s="29"/>
      <c r="Q12" s="29"/>
      <c r="R12" s="6"/>
      <c r="S12" s="29"/>
      <c r="T12" s="29"/>
      <c r="U12" s="6"/>
      <c r="V12" s="29"/>
      <c r="W12" s="29"/>
      <c r="X12" s="6"/>
      <c r="Y12" s="29"/>
      <c r="Z12" s="29"/>
      <c r="AA12" s="6"/>
      <c r="AB12" s="29"/>
      <c r="AC12" s="29"/>
    </row>
    <row r="13" spans="1:29" x14ac:dyDescent="0.2">
      <c r="A13" s="17"/>
      <c r="B13" s="24">
        <v>6</v>
      </c>
      <c r="C13" s="25">
        <v>45809</v>
      </c>
      <c r="D13" s="26">
        <v>262</v>
      </c>
      <c r="E13" s="27"/>
      <c r="F13" s="28"/>
      <c r="G13" s="25">
        <v>45809</v>
      </c>
      <c r="H13" s="26">
        <v>364</v>
      </c>
      <c r="I13" s="27"/>
      <c r="J13" s="28"/>
      <c r="K13" s="31"/>
      <c r="L13" s="6"/>
      <c r="M13" s="29"/>
      <c r="N13" s="31"/>
      <c r="O13" s="6"/>
      <c r="P13" s="29"/>
      <c r="Q13" s="31"/>
      <c r="R13" s="6"/>
      <c r="S13" s="29"/>
      <c r="T13" s="31"/>
      <c r="U13" s="6"/>
      <c r="V13" s="29"/>
      <c r="W13" s="31"/>
      <c r="X13" s="6"/>
      <c r="Y13" s="29"/>
      <c r="Z13" s="31"/>
      <c r="AA13" s="6"/>
      <c r="AB13" s="29"/>
      <c r="AC13" s="31"/>
    </row>
    <row r="14" spans="1:29" x14ac:dyDescent="0.2">
      <c r="A14" s="17"/>
      <c r="B14" s="24">
        <v>7</v>
      </c>
      <c r="C14" s="25">
        <v>45839</v>
      </c>
      <c r="D14" s="26">
        <v>96</v>
      </c>
      <c r="E14" s="32"/>
      <c r="F14" s="28"/>
      <c r="G14" s="25">
        <v>45839</v>
      </c>
      <c r="H14" s="26">
        <v>371</v>
      </c>
      <c r="I14" s="32"/>
      <c r="J14" s="28"/>
      <c r="K14" s="31"/>
      <c r="L14" s="6"/>
      <c r="M14" s="33"/>
      <c r="N14" s="31"/>
      <c r="O14" s="6"/>
      <c r="P14" s="33"/>
      <c r="Q14" s="31"/>
      <c r="R14" s="6"/>
      <c r="S14" s="33"/>
      <c r="T14" s="31"/>
      <c r="U14" s="6"/>
      <c r="V14" s="33"/>
      <c r="W14" s="31"/>
      <c r="X14" s="6"/>
      <c r="Y14" s="33"/>
      <c r="Z14" s="31"/>
      <c r="AA14" s="6"/>
      <c r="AB14" s="33"/>
      <c r="AC14" s="31"/>
    </row>
    <row r="15" spans="1:29" x14ac:dyDescent="0.2">
      <c r="A15" s="17"/>
      <c r="B15" s="24">
        <v>8</v>
      </c>
      <c r="C15" s="25">
        <v>45870</v>
      </c>
      <c r="D15" s="26">
        <v>86</v>
      </c>
      <c r="E15" s="32"/>
      <c r="F15" s="28"/>
      <c r="G15" s="25">
        <v>45870</v>
      </c>
      <c r="H15" s="26">
        <v>229</v>
      </c>
      <c r="I15" s="34"/>
      <c r="J15" s="28"/>
      <c r="K15" s="31"/>
      <c r="L15" s="6"/>
      <c r="M15" s="33"/>
      <c r="N15" s="31"/>
      <c r="O15" s="6"/>
      <c r="P15" s="33"/>
      <c r="Q15" s="31"/>
      <c r="R15" s="6"/>
      <c r="S15" s="33"/>
      <c r="T15" s="31"/>
      <c r="U15" s="6"/>
      <c r="V15" s="33"/>
      <c r="W15" s="31"/>
      <c r="X15" s="6"/>
      <c r="Y15" s="33"/>
      <c r="Z15" s="31"/>
      <c r="AA15" s="6"/>
      <c r="AB15" s="33"/>
      <c r="AC15" s="31"/>
    </row>
    <row r="16" spans="1:29" x14ac:dyDescent="0.2">
      <c r="A16" s="17"/>
      <c r="B16" s="24">
        <v>9</v>
      </c>
      <c r="C16" s="25">
        <v>45901</v>
      </c>
      <c r="D16" s="26">
        <v>157</v>
      </c>
      <c r="E16" s="32"/>
      <c r="F16" s="28"/>
      <c r="G16" s="25">
        <v>45901</v>
      </c>
      <c r="H16" s="26">
        <v>183</v>
      </c>
      <c r="I16" s="34"/>
      <c r="J16" s="28"/>
      <c r="K16" s="31"/>
      <c r="L16" s="6"/>
      <c r="M16" s="33"/>
      <c r="N16" s="31"/>
      <c r="O16" s="6"/>
      <c r="P16" s="33"/>
      <c r="Q16" s="31"/>
      <c r="R16" s="6"/>
      <c r="S16" s="33"/>
      <c r="T16" s="31"/>
      <c r="U16" s="6"/>
      <c r="V16" s="33"/>
      <c r="W16" s="31"/>
      <c r="X16" s="6"/>
      <c r="Y16" s="33"/>
      <c r="Z16" s="31"/>
      <c r="AA16" s="6"/>
      <c r="AB16" s="33"/>
      <c r="AC16" s="31"/>
    </row>
    <row r="17" spans="1:29" x14ac:dyDescent="0.2">
      <c r="A17" s="17"/>
      <c r="B17" s="24">
        <v>10</v>
      </c>
      <c r="C17" s="25">
        <v>45931</v>
      </c>
      <c r="D17" s="26">
        <v>380</v>
      </c>
      <c r="E17" s="32"/>
      <c r="F17" s="28"/>
      <c r="G17" s="25">
        <v>45931</v>
      </c>
      <c r="H17" s="26">
        <v>0</v>
      </c>
      <c r="I17" s="34"/>
      <c r="J17" s="28"/>
      <c r="K17" s="31"/>
      <c r="L17" s="6"/>
      <c r="M17" s="33"/>
      <c r="N17" s="31"/>
      <c r="O17" s="6"/>
      <c r="P17" s="33"/>
      <c r="Q17" s="31"/>
      <c r="R17" s="6"/>
      <c r="S17" s="33"/>
      <c r="T17" s="31"/>
      <c r="U17" s="6"/>
      <c r="V17" s="33"/>
      <c r="W17" s="31"/>
      <c r="X17" s="6"/>
      <c r="Y17" s="33"/>
      <c r="Z17" s="31"/>
      <c r="AA17" s="6"/>
      <c r="AB17" s="33"/>
      <c r="AC17" s="31"/>
    </row>
    <row r="18" spans="1:29" x14ac:dyDescent="0.2">
      <c r="A18" s="17"/>
      <c r="B18" s="24">
        <v>11</v>
      </c>
      <c r="C18" s="25">
        <v>45962</v>
      </c>
      <c r="D18" s="26">
        <v>146</v>
      </c>
      <c r="E18" s="32"/>
      <c r="F18" s="28"/>
      <c r="G18" s="25">
        <v>45962</v>
      </c>
      <c r="H18" s="26">
        <v>157</v>
      </c>
      <c r="I18" s="34"/>
      <c r="J18" s="28"/>
      <c r="K18" s="31"/>
      <c r="L18" s="6"/>
      <c r="M18" s="33"/>
      <c r="N18" s="31"/>
      <c r="O18" s="6"/>
      <c r="P18" s="33"/>
      <c r="Q18" s="31"/>
      <c r="R18" s="6"/>
      <c r="S18" s="33"/>
      <c r="T18" s="31"/>
      <c r="U18" s="6"/>
      <c r="V18" s="33"/>
      <c r="W18" s="31"/>
      <c r="X18" s="6"/>
      <c r="Y18" s="33"/>
      <c r="Z18" s="31"/>
      <c r="AA18" s="6"/>
      <c r="AB18" s="33"/>
      <c r="AC18" s="31"/>
    </row>
    <row r="19" spans="1:29" x14ac:dyDescent="0.2">
      <c r="A19" s="17"/>
      <c r="B19" s="24">
        <v>12</v>
      </c>
      <c r="C19" s="25">
        <v>45992</v>
      </c>
      <c r="D19" s="26">
        <v>121</v>
      </c>
      <c r="E19" s="32"/>
      <c r="F19" s="28"/>
      <c r="G19" s="25">
        <v>45992</v>
      </c>
      <c r="H19" s="26">
        <v>35</v>
      </c>
      <c r="I19" s="34"/>
      <c r="J19" s="28"/>
      <c r="K19" s="31"/>
      <c r="L19" s="6"/>
      <c r="M19" s="33"/>
      <c r="N19" s="31"/>
      <c r="O19" s="6"/>
      <c r="P19" s="33"/>
      <c r="Q19" s="31"/>
      <c r="R19" s="6"/>
      <c r="S19" s="33"/>
      <c r="T19" s="31"/>
      <c r="U19" s="6"/>
      <c r="V19" s="33"/>
      <c r="W19" s="31"/>
      <c r="X19" s="6"/>
      <c r="Y19" s="33"/>
      <c r="Z19" s="31"/>
      <c r="AA19" s="6"/>
      <c r="AB19" s="33"/>
      <c r="AC19" s="31"/>
    </row>
    <row r="20" spans="1:29" x14ac:dyDescent="0.2">
      <c r="A20" s="17"/>
      <c r="B20" s="24">
        <v>13</v>
      </c>
      <c r="C20" s="25">
        <v>46023</v>
      </c>
      <c r="D20" s="26">
        <v>25</v>
      </c>
      <c r="E20" s="32">
        <v>320.45</v>
      </c>
      <c r="F20" s="28">
        <f>(E20-$D$3)/D20</f>
        <v>7.6179999999999994</v>
      </c>
      <c r="G20" s="25">
        <v>46023</v>
      </c>
      <c r="H20" s="26">
        <v>137</v>
      </c>
      <c r="I20" s="34">
        <v>3335.34</v>
      </c>
      <c r="J20" s="28">
        <f>(I20-$H$3)/H20</f>
        <v>23.396642335766426</v>
      </c>
      <c r="K20" s="29"/>
      <c r="L20" s="6"/>
      <c r="M20" s="35"/>
      <c r="N20" s="29"/>
      <c r="O20" s="6"/>
      <c r="P20" s="35"/>
      <c r="Q20" s="31"/>
      <c r="R20" s="6"/>
      <c r="S20" s="35"/>
      <c r="T20" s="31"/>
      <c r="U20" s="6"/>
      <c r="V20" s="35"/>
      <c r="W20" s="29"/>
      <c r="X20" s="6"/>
      <c r="Y20" s="35"/>
      <c r="Z20" s="29"/>
      <c r="AA20" s="6"/>
      <c r="AB20" s="35"/>
      <c r="AC20" s="29"/>
    </row>
    <row r="21" spans="1:29" x14ac:dyDescent="0.2">
      <c r="A21" s="17"/>
      <c r="B21" s="36">
        <v>14</v>
      </c>
      <c r="C21" s="25"/>
      <c r="D21" s="37"/>
      <c r="E21" s="34"/>
      <c r="F21" s="28"/>
      <c r="G21" s="25"/>
      <c r="H21" s="37"/>
      <c r="I21" s="34"/>
      <c r="J21" s="28"/>
      <c r="K21" s="38"/>
      <c r="L21" s="31"/>
      <c r="M21" s="39"/>
      <c r="N21" s="38"/>
      <c r="O21" s="31"/>
      <c r="P21" s="39"/>
      <c r="Q21" s="31"/>
      <c r="R21" s="31"/>
      <c r="S21" s="39"/>
      <c r="T21" s="31"/>
      <c r="U21" s="31"/>
      <c r="V21" s="39"/>
      <c r="W21" s="38"/>
      <c r="X21" s="31"/>
      <c r="Y21" s="39"/>
      <c r="Z21" s="38"/>
      <c r="AA21" s="31"/>
      <c r="AB21" s="39"/>
      <c r="AC21" s="38"/>
    </row>
    <row r="22" spans="1:29" x14ac:dyDescent="0.2">
      <c r="A22" s="17"/>
      <c r="B22" s="40"/>
      <c r="C22" s="41" t="s">
        <v>18</v>
      </c>
      <c r="D22" s="42">
        <f>AVERAGE(D9:D21)</f>
        <v>165.75</v>
      </c>
      <c r="E22" s="43">
        <f t="shared" ref="E22:F22" si="0">AVERAGE(E14:E21)</f>
        <v>320.45</v>
      </c>
      <c r="F22" s="44">
        <f t="shared" si="0"/>
        <v>7.6179999999999994</v>
      </c>
      <c r="G22" s="41" t="s">
        <v>18</v>
      </c>
      <c r="H22" s="42">
        <f>AVERAGE(H9:H21)</f>
        <v>161.25</v>
      </c>
      <c r="I22" s="43">
        <f t="shared" ref="I22:J22" si="1">AVERAGE(I14:I21)</f>
        <v>3335.34</v>
      </c>
      <c r="J22" s="44">
        <f t="shared" si="1"/>
        <v>23.396642335766426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spans="1:29" x14ac:dyDescent="0.2">
      <c r="A23" s="17"/>
      <c r="B23" s="40"/>
      <c r="C23" s="41" t="s">
        <v>19</v>
      </c>
      <c r="D23" s="46">
        <f>(D22*12*1.1)/1400</f>
        <v>1.5627857142857144</v>
      </c>
      <c r="E23" s="46"/>
      <c r="F23" s="24"/>
      <c r="G23" s="41" t="s">
        <v>19</v>
      </c>
      <c r="H23" s="46">
        <f>(H22*12*1.1)/1400</f>
        <v>1.520357142857143</v>
      </c>
      <c r="I23" s="46"/>
      <c r="J23" s="24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x14ac:dyDescent="0.2">
      <c r="A24" s="17"/>
      <c r="B24" s="40"/>
      <c r="C24" s="41" t="s">
        <v>20</v>
      </c>
      <c r="D24" s="46">
        <f>D23/$C$7*1000</f>
        <v>2.6046428571428573</v>
      </c>
      <c r="E24" s="46"/>
      <c r="F24" s="24"/>
      <c r="G24" s="41" t="s">
        <v>20</v>
      </c>
      <c r="H24" s="46">
        <f>H23/$C$7*1000</f>
        <v>2.5339285714285715</v>
      </c>
      <c r="I24" s="46"/>
      <c r="J24" s="24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x14ac:dyDescent="0.2">
      <c r="A25" s="13" t="s">
        <v>21</v>
      </c>
      <c r="B25" s="40"/>
      <c r="C25" s="47" t="s">
        <v>22</v>
      </c>
      <c r="D25" s="48">
        <f>ROUND(D24,0)*$C$7/1000</f>
        <v>1.8</v>
      </c>
      <c r="E25" s="49"/>
      <c r="F25" s="50"/>
      <c r="G25" s="47" t="s">
        <v>22</v>
      </c>
      <c r="H25" s="48">
        <f>ROUND(H24,0)*$C$7/1000</f>
        <v>1.8</v>
      </c>
      <c r="I25" s="49"/>
      <c r="J25" s="5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x14ac:dyDescent="0.2">
      <c r="A26" s="17"/>
      <c r="B26" s="40"/>
      <c r="C26" s="47" t="s">
        <v>23</v>
      </c>
      <c r="D26" s="51">
        <f>D25/$C$7*1000</f>
        <v>3</v>
      </c>
      <c r="E26" s="49"/>
      <c r="F26" s="50"/>
      <c r="G26" s="47" t="s">
        <v>23</v>
      </c>
      <c r="H26" s="51">
        <f>H25/$C$7*1000</f>
        <v>3</v>
      </c>
      <c r="I26" s="49"/>
      <c r="J26" s="5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x14ac:dyDescent="0.2">
      <c r="A27" s="17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x14ac:dyDescent="0.2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6"/>
      <c r="Q28" s="5"/>
      <c r="R28" s="5"/>
      <c r="S28" s="6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x14ac:dyDescent="0.2">
      <c r="A29" s="4"/>
      <c r="B29" s="4"/>
      <c r="C29" s="10" t="s">
        <v>24</v>
      </c>
      <c r="D29" s="4">
        <f t="shared" ref="D29:D30" si="2">SUM(25:25)</f>
        <v>3.6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6"/>
      <c r="Q29" s="5"/>
      <c r="R29" s="5"/>
      <c r="S29" s="6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x14ac:dyDescent="0.2">
      <c r="A30" s="4"/>
      <c r="B30" s="4"/>
      <c r="C30" s="10" t="s">
        <v>25</v>
      </c>
      <c r="D30" s="4">
        <f t="shared" si="2"/>
        <v>6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5"/>
      <c r="AB30" s="6"/>
      <c r="AC30" s="5"/>
    </row>
    <row r="31" spans="1:29" x14ac:dyDescent="0.2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5"/>
      <c r="AB31" s="5"/>
      <c r="AC31" s="5"/>
    </row>
    <row r="32" spans="1:29" x14ac:dyDescent="0.2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5"/>
      <c r="AB32" s="6"/>
      <c r="AC32" s="5"/>
    </row>
    <row r="33" spans="1:29" x14ac:dyDescent="0.2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  <c r="AA33" s="5"/>
      <c r="AB33" s="6"/>
      <c r="AC33" s="5"/>
    </row>
    <row r="34" spans="1:29" x14ac:dyDescent="0.2">
      <c r="A34" s="4"/>
      <c r="B34" s="4"/>
      <c r="C34" s="4"/>
      <c r="D34" s="10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  <c r="AA34" s="6"/>
      <c r="AB34" s="6"/>
      <c r="AC34" s="5"/>
    </row>
    <row r="35" spans="1:29" x14ac:dyDescent="0.2">
      <c r="A35" s="4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  <c r="AA35" s="5"/>
      <c r="AB35" s="6"/>
      <c r="AC35" s="5"/>
    </row>
    <row r="36" spans="1:29" x14ac:dyDescent="0.2">
      <c r="A36" s="4"/>
      <c r="B36" s="52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  <c r="AA36" s="5"/>
      <c r="AB36" s="6"/>
      <c r="AC36" s="5"/>
    </row>
    <row r="37" spans="1:29" x14ac:dyDescent="0.2">
      <c r="A37" s="4"/>
      <c r="B37" s="52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  <c r="AA37" s="5"/>
      <c r="AB37" s="6"/>
      <c r="AC37" s="5"/>
    </row>
    <row r="38" spans="1:29" x14ac:dyDescent="0.2">
      <c r="A38" s="4"/>
      <c r="B38" s="52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  <c r="AA38" s="5"/>
      <c r="AB38" s="6"/>
      <c r="AC38" s="5"/>
    </row>
    <row r="39" spans="1:29" x14ac:dyDescent="0.2">
      <c r="A39" s="4"/>
      <c r="B39" s="52"/>
      <c r="C39" s="6"/>
      <c r="D39" s="6"/>
      <c r="E39" s="5"/>
      <c r="F39" s="5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  <c r="AA39" s="5"/>
      <c r="AB39" s="5"/>
      <c r="AC39" s="5"/>
    </row>
    <row r="40" spans="1:29" x14ac:dyDescent="0.2">
      <c r="A40" s="4"/>
      <c r="B40" s="52"/>
      <c r="C40" s="6"/>
      <c r="D40" s="6"/>
      <c r="E40" s="5"/>
      <c r="F40" s="5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  <c r="AA40" s="5"/>
      <c r="AB40" s="5"/>
      <c r="AC40" s="5"/>
    </row>
    <row r="41" spans="1:29" x14ac:dyDescent="0.2">
      <c r="A41" s="4"/>
      <c r="B41" s="52"/>
      <c r="C41" s="6"/>
      <c r="D41" s="5"/>
      <c r="E41" s="5"/>
      <c r="F41" s="5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  <c r="AA41" s="5"/>
      <c r="AB41" s="5"/>
      <c r="AC41" s="5"/>
    </row>
    <row r="42" spans="1:29" x14ac:dyDescent="0.2">
      <c r="A42" s="4"/>
      <c r="B42" s="52"/>
      <c r="C42" s="6"/>
      <c r="D42" s="35"/>
      <c r="E42" s="5"/>
      <c r="F42" s="5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x14ac:dyDescent="0.2">
      <c r="A43" s="4"/>
      <c r="B43" s="52"/>
      <c r="C43" s="6"/>
      <c r="D43" s="35"/>
      <c r="E43" s="5"/>
      <c r="F43" s="5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x14ac:dyDescent="0.2">
      <c r="A44" s="4"/>
      <c r="B44" s="52"/>
      <c r="C44" s="6"/>
      <c r="D44" s="35"/>
      <c r="E44" s="5"/>
      <c r="F44" s="5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x14ac:dyDescent="0.2">
      <c r="A45" s="4"/>
      <c r="B45" s="52"/>
      <c r="C45" s="6"/>
      <c r="D45" s="35"/>
      <c r="E45" s="5"/>
      <c r="F45" s="5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2">
      <c r="A46" s="4"/>
      <c r="B46" s="52"/>
      <c r="C46" s="6"/>
      <c r="D46" s="35"/>
      <c r="E46" s="5"/>
      <c r="F46" s="5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x14ac:dyDescent="0.2">
      <c r="A47" s="4"/>
      <c r="B47" s="52"/>
      <c r="C47" s="6"/>
      <c r="D47" s="35"/>
      <c r="E47" s="5"/>
      <c r="F47" s="5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x14ac:dyDescent="0.2">
      <c r="A48" s="4"/>
      <c r="B48" s="52"/>
      <c r="C48" s="6"/>
      <c r="D48" s="6"/>
      <c r="E48" s="5"/>
      <c r="F48" s="5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x14ac:dyDescent="0.2">
      <c r="A49" s="4"/>
      <c r="B49" s="52"/>
      <c r="C49" s="6"/>
      <c r="D49" s="5"/>
      <c r="E49" s="5"/>
      <c r="F49" s="5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x14ac:dyDescent="0.2">
      <c r="A50" s="4"/>
      <c r="B50" s="25"/>
      <c r="C50" s="4"/>
      <c r="D50" s="58"/>
      <c r="E50" s="4"/>
      <c r="F50" s="2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x14ac:dyDescent="0.2">
      <c r="A51" s="4"/>
      <c r="B51" s="59"/>
      <c r="C51" s="60"/>
      <c r="D51" s="61"/>
      <c r="E51" s="35"/>
      <c r="F51" s="2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2">
      <c r="A52" s="4"/>
      <c r="B52" s="59"/>
      <c r="C52" s="60"/>
      <c r="D52" s="61"/>
      <c r="E52" s="35"/>
      <c r="F52" s="2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x14ac:dyDescent="0.2">
      <c r="A53" s="4"/>
      <c r="B53" s="59"/>
      <c r="C53" s="61"/>
      <c r="D53" s="61"/>
      <c r="E53" s="35"/>
      <c r="F53" s="2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x14ac:dyDescent="0.2">
      <c r="A54" s="4"/>
      <c r="B54" s="59"/>
      <c r="C54" s="61"/>
      <c r="D54" s="61"/>
      <c r="E54" s="3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x14ac:dyDescent="0.2">
      <c r="A55" s="4"/>
      <c r="B55" s="59"/>
      <c r="C55" s="61"/>
      <c r="D55" s="61"/>
      <c r="E55" s="3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2">
      <c r="A56" s="4"/>
      <c r="B56" s="59"/>
      <c r="C56" s="61"/>
      <c r="D56" s="61"/>
      <c r="E56" s="3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2">
      <c r="A57" s="4"/>
      <c r="B57" s="59"/>
      <c r="C57" s="61"/>
      <c r="D57" s="61"/>
      <c r="E57" s="3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2">
      <c r="A58" s="4"/>
      <c r="B58" s="59"/>
      <c r="C58" s="61"/>
      <c r="D58" s="61"/>
      <c r="E58" s="3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x14ac:dyDescent="0.2">
      <c r="A59" s="4"/>
      <c r="B59" s="59"/>
      <c r="C59" s="61"/>
      <c r="D59" s="61"/>
      <c r="E59" s="3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2">
      <c r="A60" s="4"/>
      <c r="B60" s="59"/>
      <c r="C60" s="61"/>
      <c r="D60" s="61"/>
      <c r="E60" s="3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x14ac:dyDescent="0.2">
      <c r="A61" s="4"/>
      <c r="B61" s="59"/>
      <c r="C61" s="61"/>
      <c r="D61" s="61"/>
      <c r="E61" s="3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2">
      <c r="A62" s="4"/>
      <c r="B62" s="54"/>
      <c r="C62" s="61"/>
      <c r="D62" s="61"/>
      <c r="E62" s="3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hyperlinks>
    <hyperlink ref="B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Pranay 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LATITUDE</cp:lastModifiedBy>
  <dcterms:modified xsi:type="dcterms:W3CDTF">2026-05-14T05:05:42Z</dcterms:modified>
</cp:coreProperties>
</file>